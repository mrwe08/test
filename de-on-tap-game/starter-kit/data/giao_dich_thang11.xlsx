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19" documentId="11_1E537BF30CA77B422DDED3FC247992DFF8308685" xr6:coauthVersionLast="47" xr6:coauthVersionMax="47" xr10:uidLastSave="{F948DCCA-1FAF-42EF-BA96-6A71BBA905B1}"/>
  <bookViews>
    <workbookView xWindow="0" yWindow="0" windowWidth="0" windowHeight="0" xr2:uid="{00000000-000D-0000-FFFF-FFFF00000000}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<sst xmlns="http://schemas.openxmlformats.org/spreadsheetml/2006/main" count="51" uniqueCount="33">
  <si>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</si>
  <si>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</si>
  <si>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</si>
  <si>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ten_vp</t>
  </si>
  <si>
    <t>gia_xu</t>
  </si>
  <si>
    <t>thanh_tien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</si>
  <si>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</si>
  <si>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</si>
  <si>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</si>
  <si>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</si>
  <si>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</si>
  <si>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</si>
  <si>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</si>
  <si>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</si>
  <si>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</si>
  <si>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</si>
  <si>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</si>
  <si>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</si>
  <si>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</si>
  <si>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</si>
  <si>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</si>
  <si>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</si>
  <si>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</si>
  <si>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</si>
  <si>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</si>
  <si>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</si>
  <si>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</si>
  <si>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Kiem Rong</t>
  </si>
  <si>
    <t>Khien Bang</t>
  </si>
  <si>
    <t>Binh May</t>
  </si>
  <si>
    <t>Giay Toc Do</t>
  </si>
  <si>
    <t>Ao Giap Vang</t>
  </si>
  <si>
    <t>Nhan Ma Thuat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</si>
</sst>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"/>
  <sheetViews>
    <sheetView tabSelected="1" workbookViewId="0">
      <selection activeCell="F1" sqref="F1"/>
    </sheetView>
  </sheetViews>
  <sheetFormatPr defaultRowHeight="15"/>
  <cols>
    <col min="4" max="4" width="16.5703125" customWidth="1"/>
    <col min="5" max="5" width="11" customWidth="1"/>
    <col min="6" max="6" width="13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>
      <c r="A2" t="s">
        <v>6</v>
      </c>
      <c r="B2" t="s">
        <v>7</v>
      </c>
      <c r="C2">
        <v>1</v>
      </c>
      <c r="D2" t="str">
        <f>VLOOKUP(B2,VatPham!$A$1:$C$7,2,FALSE)</f>
        <v>Ao Giap Vang</v>
      </c>
      <c r="E2">
        <f>VLOOKUP(B2,VatPham!$A$1:$C$7,3,FALSE)</f>
        <v>250000</v>
      </c>
      <c r="F2">
        <f>C2*E2</f>
        <v>250000</v>
      </c>
    </row>
    <row r="3" spans="1:6" hidden="1">
      <c r="A3" t="s">
        <v>8</v>
      </c>
      <c r="B3" t="s">
        <v>9</v>
      </c>
      <c r="C3">
        <v>1</v>
      </c>
      <c r="D3" t="str">
        <f>VLOOKUP(B3,VatPham!$A$1:$C$7,2,FALSE)</f>
        <v>Nhan Ma Thuat</v>
      </c>
      <c r="E3">
        <f>VLOOKUP(B3,VatPham!$A$1:$C$7,3,FALSE)</f>
        <v>99000</v>
      </c>
      <c r="F3">
        <f t="shared" ref="F3:F16" si="0">C3*E3</f>
        <v>99000</v>
      </c>
    </row>
    <row r="4" spans="1:6">
      <c r="A4" t="s">
        <v>10</v>
      </c>
      <c r="B4" t="s">
        <v>11</v>
      </c>
      <c r="C4">
        <v>5</v>
      </c>
      <c r="D4" t="str">
        <f>VLOOKUP(B4,VatPham!$A$1:$C$7,2,FALSE)</f>
        <v>Giay Toc Do</v>
      </c>
      <c r="E4">
        <f>VLOOKUP(B4,VatPham!$A$1:$C$7,3,FALSE)</f>
        <v>150000</v>
      </c>
      <c r="F4">
        <f t="shared" si="0"/>
        <v>750000</v>
      </c>
    </row>
    <row r="5" spans="1:6">
      <c r="A5" t="s">
        <v>12</v>
      </c>
      <c r="B5" t="s">
        <v>9</v>
      </c>
      <c r="C5">
        <v>5</v>
      </c>
      <c r="D5" t="str">
        <f>VLOOKUP(B5,VatPham!$A$1:$C$7,2,FALSE)</f>
        <v>Nhan Ma Thuat</v>
      </c>
      <c r="E5">
        <f>VLOOKUP(B5,VatPham!$A$1:$C$7,3,FALSE)</f>
        <v>99000</v>
      </c>
      <c r="F5">
        <f t="shared" si="0"/>
        <v>495000</v>
      </c>
    </row>
    <row r="6" spans="1:6" hidden="1">
      <c r="A6" t="s">
        <v>13</v>
      </c>
      <c r="B6" t="s">
        <v>14</v>
      </c>
      <c r="C6">
        <v>3</v>
      </c>
      <c r="D6" t="str">
        <f>VLOOKUP(B6,VatPham!$A$1:$C$7,2,FALSE)</f>
        <v>Binh May</v>
      </c>
      <c r="E6">
        <f>VLOOKUP(B6,VatPham!$A$1:$C$7,3,FALSE)</f>
        <v>20000</v>
      </c>
      <c r="F6">
        <f t="shared" si="0"/>
        <v>60000</v>
      </c>
    </row>
    <row r="7" spans="1:6">
      <c r="A7" t="s">
        <v>15</v>
      </c>
      <c r="B7" t="s">
        <v>9</v>
      </c>
      <c r="C7">
        <v>4</v>
      </c>
      <c r="D7" t="str">
        <f>VLOOKUP(B7,VatPham!$A$1:$C$7,2,FALSE)</f>
        <v>Nhan Ma Thuat</v>
      </c>
      <c r="E7">
        <f>VLOOKUP(B7,VatPham!$A$1:$C$7,3,FALSE)</f>
        <v>99000</v>
      </c>
      <c r="F7">
        <f t="shared" si="0"/>
        <v>396000</v>
      </c>
    </row>
    <row r="8" spans="1:6">
      <c r="A8" t="s">
        <v>16</v>
      </c>
      <c r="B8" t="s">
        <v>11</v>
      </c>
      <c r="C8">
        <v>6</v>
      </c>
      <c r="D8" t="str">
        <f>VLOOKUP(B8,VatPham!$A$1:$C$7,2,FALSE)</f>
        <v>Giay Toc Do</v>
      </c>
      <c r="E8">
        <f>VLOOKUP(B8,VatPham!$A$1:$C$7,3,FALSE)</f>
        <v>150000</v>
      </c>
      <c r="F8">
        <f t="shared" si="0"/>
        <v>900000</v>
      </c>
    </row>
    <row r="9" spans="1:6" hidden="1">
      <c r="A9" t="s">
        <v>17</v>
      </c>
      <c r="B9" t="s">
        <v>18</v>
      </c>
      <c r="C9">
        <v>1</v>
      </c>
      <c r="D9" t="str">
        <f>VLOOKUP(B9,VatPham!$A$1:$C$7,2,FALSE)</f>
        <v>Khien Bang</v>
      </c>
      <c r="E9">
        <f>VLOOKUP(B9,VatPham!$A$1:$C$7,3,FALSE)</f>
        <v>85000</v>
      </c>
      <c r="F9">
        <f t="shared" si="0"/>
        <v>85000</v>
      </c>
    </row>
    <row r="10" spans="1:6" hidden="1">
      <c r="A10" t="s">
        <v>19</v>
      </c>
      <c r="B10" t="s">
        <v>14</v>
      </c>
      <c r="C10">
        <v>2</v>
      </c>
      <c r="D10" t="str">
        <f>VLOOKUP(B10,VatPham!$A$1:$C$7,2,FALSE)</f>
        <v>Binh May</v>
      </c>
      <c r="E10">
        <f>VLOOKUP(B10,VatPham!$A$1:$C$7,3,FALSE)</f>
        <v>20000</v>
      </c>
      <c r="F10">
        <f t="shared" si="0"/>
        <v>40000</v>
      </c>
    </row>
    <row r="11" spans="1:6">
      <c r="A11" t="s">
        <v>20</v>
      </c>
      <c r="B11" t="s">
        <v>7</v>
      </c>
      <c r="C11">
        <v>4</v>
      </c>
      <c r="D11" t="str">
        <f>VLOOKUP(B11,VatPham!$A$1:$C$7,2,FALSE)</f>
        <v>Ao Giap Vang</v>
      </c>
      <c r="E11">
        <f>VLOOKUP(B11,VatPham!$A$1:$C$7,3,FALSE)</f>
        <v>250000</v>
      </c>
      <c r="F11">
        <f t="shared" si="0"/>
        <v>1000000</v>
      </c>
    </row>
    <row r="12" spans="1:6">
      <c r="A12" t="s">
        <v>21</v>
      </c>
      <c r="B12" t="s">
        <v>11</v>
      </c>
      <c r="C12">
        <v>5</v>
      </c>
      <c r="D12" t="str">
        <f>VLOOKUP(B12,VatPham!$A$1:$C$7,2,FALSE)</f>
        <v>Giay Toc Do</v>
      </c>
      <c r="E12">
        <f>VLOOKUP(B12,VatPham!$A$1:$C$7,3,FALSE)</f>
        <v>150000</v>
      </c>
      <c r="F12">
        <f t="shared" si="0"/>
        <v>750000</v>
      </c>
    </row>
    <row r="13" spans="1:6">
      <c r="A13" t="s">
        <v>22</v>
      </c>
      <c r="B13" t="s">
        <v>7</v>
      </c>
      <c r="C13">
        <v>2</v>
      </c>
      <c r="D13" t="str">
        <f>VLOOKUP(B13,VatPham!$A$1:$C$7,2,FALSE)</f>
        <v>Ao Giap Vang</v>
      </c>
      <c r="E13">
        <f>VLOOKUP(B13,VatPham!$A$1:$C$7,3,FALSE)</f>
        <v>250000</v>
      </c>
      <c r="F13">
        <f t="shared" si="0"/>
        <v>500000</v>
      </c>
    </row>
    <row r="14" spans="1:6" hidden="1">
      <c r="A14" t="s">
        <v>23</v>
      </c>
      <c r="B14" t="s">
        <v>24</v>
      </c>
      <c r="C14">
        <v>1</v>
      </c>
      <c r="D14" t="str">
        <f>VLOOKUP(B14,VatPham!$A$1:$C$7,2,FALSE)</f>
        <v>Kiem Rong</v>
      </c>
      <c r="E14">
        <f>VLOOKUP(B14,VatPham!$A$1:$C$7,3,FALSE)</f>
        <v>120000</v>
      </c>
      <c r="F14">
        <f t="shared" si="0"/>
        <v>120000</v>
      </c>
    </row>
    <row r="15" spans="1:6" hidden="1">
      <c r="A15" t="s">
        <v>25</v>
      </c>
      <c r="B15" t="s">
        <v>24</v>
      </c>
      <c r="C15">
        <v>2</v>
      </c>
      <c r="D15" t="str">
        <f>VLOOKUP(B15,VatPham!$A$1:$C$7,2,FALSE)</f>
        <v>Kiem Rong</v>
      </c>
      <c r="E15">
        <f>VLOOKUP(B15,VatPham!$A$1:$C$7,3,FALSE)</f>
        <v>120000</v>
      </c>
      <c r="F15">
        <f t="shared" si="0"/>
        <v>240000</v>
      </c>
    </row>
    <row r="16" spans="1:6">
      <c r="A16" t="s">
        <v>26</v>
      </c>
      <c r="B16" t="s">
        <v>7</v>
      </c>
      <c r="C16">
        <v>5</v>
      </c>
      <c r="D16" t="str">
        <f>VLOOKUP(B16,VatPham!$A$1:$C$7,2,FALSE)</f>
        <v>Ao Giap Vang</v>
      </c>
      <c r="E16">
        <f>VLOOKUP(B16,VatPham!$A$1:$C$7,3,FALSE)</f>
        <v>250000</v>
      </c>
      <c r="F16">
        <f t="shared" si="0"/>
        <v>1250000</v>
      </c>
    </row>
  </sheetData>
  <autoFilter ref="A1:F16" xr:uid="{00000000-0001-0000-0000-000000000000}">
    <filterColumn colId="5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/>
  <sheetData>
    <row r="1" spans="1:3">
      <c r="A1" t="s">
        <v>1</v>
      </c>
      <c r="B1" t="s">
        <v>3</v>
      </c>
      <c r="C1" t="s">
        <v>4</v>
      </c>
    </row>
    <row r="2" spans="1:3">
      <c r="A2" t="s">
        <v>24</v>
      </c>
      <c r="B2" t="s">
        <v>27</v>
      </c>
      <c r="C2">
        <v>120000</v>
      </c>
    </row>
    <row r="3" spans="1:3">
      <c r="A3" t="s">
        <v>18</v>
      </c>
      <c r="B3" t="s">
        <v>28</v>
      </c>
      <c r="C3">
        <v>85000</v>
      </c>
    </row>
    <row r="4" spans="1:3">
      <c r="A4" t="s">
        <v>14</v>
      </c>
      <c r="B4" t="s">
        <v>29</v>
      </c>
      <c r="C4">
        <v>20000</v>
      </c>
    </row>
    <row r="5" spans="1:3">
      <c r="A5" t="s">
        <v>11</v>
      </c>
      <c r="B5" t="s">
        <v>30</v>
      </c>
      <c r="C5">
        <v>150000</v>
      </c>
    </row>
    <row r="6" spans="1:3">
      <c r="A6" t="s">
        <v>7</v>
      </c>
      <c r="B6" t="s">
        <v>31</v>
      </c>
      <c r="C6">
        <v>250000</v>
      </c>
    </row>
    <row r="7" spans="1:3">
      <c r="A7" t="s">
        <v>9</v>
      </c>
      <c r="B7" t="s">
        <v>32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huy nguyenthe</cp:lastModifiedBy>
  <cp:revision/>
  <dcterms:created xsi:type="dcterms:W3CDTF">2026-10-26T03:25:49Z</dcterms:created>
  <dcterms:modified xsi:type="dcterms:W3CDTF">2026-10-26T07:28:53Z</dcterms:modified>
  <cp:category/>
  <cp:contentStatus/>
</cp:coreProperties>
</file>